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print Summary" sheetId="2" state="visible" r:id="rId4"/>
    <sheet name="Sprint 1 Detail" sheetId="3" state="visible" r:id="rId5"/>
    <sheet name="Question Back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<sst xmlns="http://schemas.openxmlformats.org/spreadsheetml/2006/main" count="344" uniqueCount="269">
  <si>
    <t xml:space="preserve">McCain Agentic Order Status — 3-Month Sprint Plan</t>
  </si>
  <si>
    <t xml:space="preserve">Assumptions, scope and sources behind the sprint-by-sprint plan</t>
  </si>
  <si>
    <t xml:space="preserve">Item</t>
  </si>
  <si>
    <t xml:space="preserve">Value</t>
  </si>
  <si>
    <t xml:space="preserve">Basis / note</t>
  </si>
  <si>
    <t xml:space="preserve">Sprint length</t>
  </si>
  <si>
    <t xml:space="preserve">2 weeks</t>
  </si>
  <si>
    <t xml:space="preserve">Matches the cadence already used in the Env/Services Requirements doc (Dev now, QA ~wk3, Prod ~wk5-6).</t>
  </si>
  <si>
    <t xml:space="preserve">Sprint 1 start</t>
  </si>
  <si>
    <t xml:space="preserve">Wed 29-Jul-2026</t>
  </si>
  <si>
    <t xml:space="preserve">Starts today, per your instruction.</t>
  </si>
  <si>
    <t xml:space="preserve">Plan horizon</t>
  </si>
  <si>
    <t xml:space="preserve">6 sprints / 12 weeks (Jul 29 – Oct 20, 2026)</t>
  </si>
  <si>
    <t xml:space="preserve">~3 calendar months from today, per your request.</t>
  </si>
  <si>
    <t xml:space="preserve">Team</t>
  </si>
  <si>
    <t xml:space="preserve">5-person StatusNeo forward-deployed engineering team</t>
  </si>
  <si>
    <t xml:space="preserve">Per Env/Services Requirements doc, Section 8.</t>
  </si>
  <si>
    <t xml:space="preserve">Scope</t>
  </si>
  <si>
    <t xml:space="preserve">All 19 in-scope questions from "Full BOT Logic (Combined)"</t>
  </si>
  <si>
    <t xml:space="preserve">Q1–Q19 in the OTC BOT Question Analysis workbook. Q21+ are explicitly marked "FUTURE QUESTIONS TO EXPLORE — NOT YET BUILT" in that sheet and are excluded.</t>
  </si>
  <si>
    <t xml:space="preserve">Complexity scoring</t>
  </si>
  <si>
    <t xml:space="preserve">Proxy = number of field/logic rows + SAP table joins + answer-scenario count per question, as documented in the workbook</t>
  </si>
  <si>
    <t xml:space="preserve">Used only to sequence and balance sprints — not a formal estimate.</t>
  </si>
  <si>
    <t xml:space="preserve">Duplicate / phrasing-variant questions</t>
  </si>
  <si>
    <t xml:space="preserve">Q13 ≈ Q1, Q12 ≈ Q10, Q18 ≈ Q3, Q19 ≈ Q4</t>
  </si>
  <si>
    <t xml:space="preserve">Flagged as duplicates directly in the "Full BOT Logic (Combined)" sheet's question text. Built together with their parent question as one query template + NLU routing tests, not as separate engineering effort — this is why they land in the same sprint as their parent below.</t>
  </si>
  <si>
    <t xml:space="preserve">Cross-team dependency flagged</t>
  </si>
  <si>
    <t xml:space="preserve">Q5 (pallet-compliance) needs a calculated field that the workbook notes "exists on the supply chain BOT"</t>
  </si>
  <si>
    <t xml:space="preserve">Recommend confirming ownership/reuse of that field by Sprint 3, even though the McCain build lands in Sprint 5, to avoid a late-discovered blocker.</t>
  </si>
  <si>
    <t xml:space="preserve">Not covered by this plan</t>
  </si>
  <si>
    <t xml:space="preserve">Region, peak concurrency/volume, QA vs UAT merge, cost ceilings</t>
  </si>
  <si>
    <t xml:space="preserve">Still open decisions from Amit per Section 11 of the requirements doc — sizing and this schedule may shift once confirmed.</t>
  </si>
  <si>
    <t xml:space="preserve">QA environment ownership</t>
  </si>
  <si>
    <t xml:space="preserve">Owned by a separate McCain QA/platform team — not the StatusNeo build team</t>
  </si>
  <si>
    <t xml:space="preserve">Not tracked as a milestone in this plan. Our team keeps building and running the evaluation gate (golden-set: 22 functional + 22 security tests) in Dev regardless of which environment is available; features promote to QA/Prod on that team's timeline.</t>
  </si>
  <si>
    <t xml:space="preserve">Sprint 1 detail</t>
  </si>
  <si>
    <t xml:space="preserve">See the "Sprint 1 Detail" tab</t>
  </si>
  <si>
    <t xml:space="preserve">Real task-by-task breakdown supplied by the team (11 tasks, U1-01 to U1-11) — Sprint 1 is the full flagship Order Status build (RBAC, DB Shield, all 8 order states, disambiguation, follow-ups, guardrails, tracing, evaluation gate, UI prototype, bug-bash &amp; demo dry-run), not a setup-only sprint.</t>
  </si>
  <si>
    <t xml:space="preserve">Sprint Summary — 3-Month Plan (Jul 29 – Oct 20, 2026)</t>
  </si>
  <si>
    <t xml:space="preserve">6 x 2-week sprints. "Questions delivered" count is pulled live from the Question Backlog tab.</t>
  </si>
  <si>
    <t xml:space="preserve">Sprint</t>
  </si>
  <si>
    <t xml:space="preserve">Dates</t>
  </si>
  <si>
    <t xml:space="preserve">Platform / environment milestone</t>
  </si>
  <si>
    <t xml:space="preserve">Bot-logic focus (theme)</t>
  </si>
  <si>
    <t xml:space="preserve">Questions delivered this sprint</t>
  </si>
  <si>
    <t xml:space="preserve"># Questions</t>
  </si>
  <si>
    <t xml:space="preserve">Exit criteria</t>
  </si>
  <si>
    <t xml:space="preserve">Sprint 1</t>
  </si>
  <si>
    <t xml:space="preserve">29-Jul – 11-Aug 2026</t>
  </si>
  <si>
    <t xml:space="preserve">Dev environment already provisioned by McCain (not our task). Week 1 opens by confirming access + EDP table readability (U1-01), then our team builds RBAC/Unity Catalog scope (U1-02), DB Shield (U1-04), Prompt Shield + output guardrails (U1-08), and tracing + the evaluation gate (U1-10) directly on top of it. Full day-by-day breakdown on the "Sprint 1 Detail" tab.</t>
  </si>
  <si>
    <t xml:space="preserve">Flagship: full Order Status build (not just setup) — see Sprint 1 Detail tab</t>
  </si>
  <si>
    <t xml:space="preserve">Q1, Q13</t>
  </si>
  <si>
    <t xml:space="preserve">Full E01–E22 functional + SEC-01–22 security evaluation set run and passing, no criticals (U1-10); team bug-bash complete, demo dry-run clean, go/no-go called for the 2-week milestone (U1-11).</t>
  </si>
  <si>
    <t xml:space="preserve">Sprint 2</t>
  </si>
  <si>
    <t xml:space="preserve">12-Aug – 25-Aug 2026</t>
  </si>
  <si>
    <t xml:space="preserve">No environment-enablement work on our critical path this sprint. QA stand-up and ownership sits with a separate McCain QA/platform team — it is not tracked as our milestone. We keep building and running the evaluation gate in Dev; features promote to QA/Prod whenever that team makes it available.</t>
  </si>
  <si>
    <t xml:space="preserve">Order scheduling &amp; holds</t>
  </si>
  <si>
    <t xml:space="preserve">Q4, Q19, Q14, Q10, Q12</t>
  </si>
  <si>
    <t xml:space="preserve">5 questions built and passing the golden-set evaluation gate in Dev; ready to promote once QA is available.</t>
  </si>
  <si>
    <t xml:space="preserve">Sprint 3</t>
  </si>
  <si>
    <t xml:space="preserve">26-Aug – 08-Sep 2026</t>
  </si>
  <si>
    <t xml:space="preserve">Prod environment enablement targeted around this time by McCain's platform team (per Requirements doc §1) — their milestone, not ours. Once it's available: controlled soft launch + stakeholder demo.</t>
  </si>
  <si>
    <t xml:space="preserve">Shortages &amp; fill-rate analytics</t>
  </si>
  <si>
    <t xml:space="preserve">Q3, Q18, Q9, Q6</t>
  </si>
  <si>
    <t xml:space="preserve">Q1/Q13 ready to promote to Prod for the stakeholder demo as soon as the environment is handed over; shortage/fill-rate cluster passing the evaluation gate in Dev.</t>
  </si>
  <si>
    <t xml:space="preserve">Sprint 4</t>
  </si>
  <si>
    <t xml:space="preserve">09-Sep – 22-Sep 2026</t>
  </si>
  <si>
    <t xml:space="preserve">Promote Sprint 2–3 clusters to Prod after soak; begin Inventory (Fact.IM_Inventory_Balance) domain.</t>
  </si>
  <si>
    <t xml:space="preserve">Inventory, customer history &amp; shortage ranking</t>
  </si>
  <si>
    <t xml:space="preserve">Q2, Q7, Q17</t>
  </si>
  <si>
    <t xml:space="preserve">Inventory domain online; full shortage/fill-rate analytics set (Q3,Q6,Q9,Q17,Q18) complete and in Prod.</t>
  </si>
  <si>
    <t xml:space="preserve">Sprint 5</t>
  </si>
  <si>
    <t xml:space="preserve">23-Sep – 06-Oct 2026</t>
  </si>
  <si>
    <t xml:space="preserve">Confirm shared calculated field with the Supply Chain BOT team for Q5 before build starts.</t>
  </si>
  <si>
    <t xml:space="preserve">Packaging/pallet compliance &amp; billing</t>
  </si>
  <si>
    <t xml:space="preserve">Q5, Q15, Q16, Q8, Q11</t>
  </si>
  <si>
    <t xml:space="preserve">Packaging and billing (Fact.Sellin) domains online; all 19 questions functionally complete across environments.</t>
  </si>
  <si>
    <t xml:space="preserve">Sprint 6</t>
  </si>
  <si>
    <t xml:space="preserve">07-Oct – 20-Oct 2026</t>
  </si>
  <si>
    <t xml:space="preserve">Full 19-question regression run wherever QA/Prod are available by then; performance &amp; load testing; security review of Prompt Shield/DB Shield; documentation &amp; handover; go-live readiness review with Amit.</t>
  </si>
  <si>
    <t xml:space="preserve">Hardening &amp; go-live (no net-new questions)</t>
  </si>
  <si>
    <t xml:space="preserve">(regression/buffer only)</t>
  </si>
  <si>
    <t xml:space="preserve">All 19 questions live in Prod, evaluation gate green, sign-off for full production rollout.</t>
  </si>
  <si>
    <t xml:space="preserve">Total</t>
  </si>
  <si>
    <t xml:space="preserve">Sprint 1 Detail — Week 1-2, as scoped by the team</t>
  </si>
  <si>
    <t xml:space="preserve">Verbatim task breakdown. Sr = Senior, Fr = Fresher/junior. "X (Sr)" is a to-be-confirmed senior hire on the roster.</t>
  </si>
  <si>
    <t xml:space="preserve">Week</t>
  </si>
  <si>
    <t xml:space="preserve">Days</t>
  </si>
  <si>
    <t xml:space="preserve">ID</t>
  </si>
  <si>
    <t xml:space="preserve">What we're doing</t>
  </si>
  <si>
    <t xml:space="preserve">Steps (plain English)</t>
  </si>
  <si>
    <t xml:space="preserve">How we know it's done (acceptance)</t>
  </si>
  <si>
    <t xml:space="preserve">Covers (eval IDs)</t>
  </si>
  <si>
    <t xml:space="preserve">Owner</t>
  </si>
  <si>
    <t xml:space="preserve">Week 1</t>
  </si>
  <si>
    <t xml:space="preserve">1-2</t>
  </si>
  <si>
    <t xml:space="preserve">U1-01</t>
  </si>
  <si>
    <t xml:space="preserve">Confirm readiness, data &amp; rules</t>
  </si>
  <si>
    <t xml:space="preserve">1) Confirm env + tool access for everyone. 2) Confirm we can read the EDP order/delivery/shipment/billing tables. 3) Seed the Genie space with these tables + clear column descriptions. 4) Re-confirm the 8-state answer logic, follow-ups and business rules are signed off.</t>
  </si>
  <si>
    <t xml:space="preserve">AC1: Team can build; EDP tables readable. AC2: Genie answers a couple of sample order questions. AC3: Answer logic + follow-ups confirmed in writing.</t>
  </si>
  <si>
    <t xml:space="preserve">—</t>
  </si>
  <si>
    <t xml:space="preserve">Alok + Prateek (Sr)</t>
  </si>
  <si>
    <t xml:space="preserve">1-3</t>
  </si>
  <si>
    <t xml:space="preserve">U1-02</t>
  </si>
  <si>
    <t xml:space="preserve">Set up who-can-see-what (RBAC scope)</t>
  </si>
  <si>
    <t xml:space="preserve">1) Register the order tables in Unity Catalog. 2) Add the row filter so a user only sees their sales org/region. 3) Add column masks for restricted fields (pricing, margin, cost, personal data). 4) Give the agent its own read-only, least-privilege login.</t>
  </si>
  <si>
    <t xml:space="preserve">AC1: A test user only sees their sales org. AC2: Masked fields hidden. AC3: Agent identity is read-only, least-privilege.</t>
  </si>
  <si>
    <t xml:space="preserve">SEC-01/02/03/04/05/16</t>
  </si>
  <si>
    <t xml:space="preserve">Shivansh (Fr, rev: Prateek)</t>
  </si>
  <si>
    <t xml:space="preserve">2-4</t>
  </si>
  <si>
    <t xml:space="preserve">U1-03</t>
  </si>
  <si>
    <t xml:space="preserve">Agent core — understand the question</t>
  </si>
  <si>
    <t xml:space="preserve">1) Detect the 'order status' intent and politely decline out-of-scope. 2) Pull out the details (order/PO number, SKU, customer, dates) with typo/synonym handling. 3) Ask to confirm when a value is ambiguous.</t>
  </si>
  <si>
    <t xml:space="preserve">AC1: Intent + details correct on the test questions. AC2: Out-of-scope handled. AC3: Ambiguous input asks to confirm.</t>
  </si>
  <si>
    <t xml:space="preserve">E14, E21, E22</t>
  </si>
  <si>
    <t xml:space="preserve">Prateek (Sr)</t>
  </si>
  <si>
    <t xml:space="preserve">2-5</t>
  </si>
  <si>
    <t xml:space="preserve">U1-04</t>
  </si>
  <si>
    <t xml:space="preserve">Order lookup tool + DB Shield</t>
  </si>
  <si>
    <t xml:space="preserve">1) Build the Genie tool that turns the question into read-only SQL over the order tables and returns the answer + the SQL. 2) Add the DB Shield: SELECT-only, allowed tables, LIMIT, timeout, least-privilege login. 3) Block and log anything unsafe.</t>
  </si>
  <si>
    <t xml:space="preserve">AC1: Real order questions answered from data with SQL shown. AC2: Unsafe/changing SQL blocked (tested). AC3: Runs read-only.</t>
  </si>
  <si>
    <t xml:space="preserve">SEC-12/13</t>
  </si>
  <si>
    <t xml:space="preserve">X (Sr)</t>
  </si>
  <si>
    <t xml:space="preserve">3-5</t>
  </si>
  <si>
    <t xml:space="preserve">U1-05</t>
  </si>
  <si>
    <t xml:space="preserve">The 8 order states + freshness + not-found</t>
  </si>
  <si>
    <t xml:space="preserve">1) Turn raw data into the correct status: Cancelled, Blocked (credit/delivery/billing), Open, Delivery created, Shipment created, Shipped-not-billed, Complete, Not found. 2) Grounded, cited reply per state with the right date. 3) Show 'data as of' + 2-hour note. 4) Handle not-found and multiple matches.</t>
  </si>
  <si>
    <t xml:space="preserve">AC1: Each of the 8 states returns the correct reply from data. AC2: Freshness shown. AC3: Not-found/multi-match handled.</t>
  </si>
  <si>
    <t xml:space="preserve">E01-E10, E12</t>
  </si>
  <si>
    <t xml:space="preserve">X (Sr, pair: Madhavan)</t>
  </si>
  <si>
    <t xml:space="preserve">Both</t>
  </si>
  <si>
    <t xml:space="preserve">1-8</t>
  </si>
  <si>
    <t xml:space="preserve">U1-09</t>
  </si>
  <si>
    <t xml:space="preserve">UI prototype + approval (Syed's sprint task)</t>
  </si>
  <si>
    <t xml:space="preserve">1) Build a clickable prototype of the chat screen like MCX (question, grounded answer, order card, 'View SQL' source, 'data as of') AND the observability/evaluation dashboard views (KPI tiles + E/SEC pass-fail). 2) Review with the product owner / CS and stakeholders; capture feedback and iterate. 3) Get sign-off on the look-and-feel and key flows. 4) STRETCH (if time permits): start wiring real functionality to the agent backend.</t>
  </si>
  <si>
    <t xml:space="preserve">AC1: Clickable prototype of the chat + dashboard exists. AC2: Reviewed with stakeholders; feedback captured. AC3: Sign-off on look-and-feel &amp; flows obtained. AC4 (stretch): initial functionality wired if time allows.</t>
  </si>
  <si>
    <t xml:space="preserve">UI/UX (design)</t>
  </si>
  <si>
    <t xml:space="preserve">Syed (Sr, full-stack) + Madhavan (Fr)</t>
  </si>
  <si>
    <t xml:space="preserve">Week 2</t>
  </si>
  <si>
    <t xml:space="preserve">6-7</t>
  </si>
  <si>
    <t xml:space="preserve">U1-06</t>
  </si>
  <si>
    <t xml:space="preserve">Disambiguation flows</t>
  </si>
  <si>
    <t xml:space="preserve">1) PO matching &gt;1 order -&gt; ask which order/plant/ship-to. 2) &gt;1 delivery on an order -&gt; ask which delivery. 3) Order/PO not found -&gt; offer a name-based lookup. 4) No identifier -&gt; ask for the order or PO.</t>
  </si>
  <si>
    <t xml:space="preserve">AC1: Each disambiguation flow asks the right question then answers. AC2: No guessing.</t>
  </si>
  <si>
    <t xml:space="preserve">E11, E12, E13, E14</t>
  </si>
  <si>
    <t xml:space="preserve">U1-07</t>
  </si>
  <si>
    <t xml:space="preserve">Follow-up questions (multi-turn)</t>
  </si>
  <si>
    <t xml:space="preserve">1) Keep context on the same order. 2) Answer: 'when will it ship?', 'why is it blocked / who releases it?', 'invoice number &amp; date?', 'which delivery/shipment?'. 3) Handle the 'list not-shipped by product' phrasing.</t>
  </si>
  <si>
    <t xml:space="preserve">AC1: Follow-ups answered from the earlier order context. AC2: Alt 'list' phrasing works.</t>
  </si>
  <si>
    <t xml:space="preserve">E15, E17, E18, E19</t>
  </si>
  <si>
    <t xml:space="preserve">6-8</t>
  </si>
  <si>
    <t xml:space="preserve">U1-08</t>
  </si>
  <si>
    <t xml:space="preserve">Guardrails &amp; security (corner cases)</t>
  </si>
  <si>
    <t xml:space="preserve">1) Prompt Shield for jailbreaks + injected instructions (including instructions hidden in order data). 2) Output checks: answer only from data + cite, redact personal data, 'not permitted for your role' message for restricted fields. 3) Scope enforced from the login, never from chat. 4) Handle empty/huge/abusive/off-topic input.</t>
  </si>
  <si>
    <t xml:space="preserve">AC1: Jailbreak/injection refused, still helpful. AC2: Restricted fields give a proper message, no leak. AC3: Out-of-scope always 'not found'.</t>
  </si>
  <si>
    <t xml:space="preserve">SEC-06-11, SEC-15, SEC-17-22</t>
  </si>
  <si>
    <t xml:space="preserve">Shivansh (Fr) + X (Sr, rev: Prateek)</t>
  </si>
  <si>
    <t xml:space="preserve">8-9</t>
  </si>
  <si>
    <t xml:space="preserve">U1-10</t>
  </si>
  <si>
    <t xml:space="preserve">Tracing + run the evaluation gate</t>
  </si>
  <si>
    <t xml:space="preserve">1) Turn on tracing (route, SQL, tokens, latency, cost), no PII in logs, and expose the metrics the dashboard will need. 2) Run the full evaluation set: 22 functional (E01-E22) + 22 security/corner (SEC-01-22). 3) Record pass/fail + a short quality report.</t>
  </si>
  <si>
    <t xml:space="preserve">AC1: Every run traced (no PII); metrics available. AC2: E-set + SEC-set run and scored. AC3: Pass/fail report exists.</t>
  </si>
  <si>
    <t xml:space="preserve">All E + all SEC</t>
  </si>
  <si>
    <t xml:space="preserve">9-10</t>
  </si>
  <si>
    <t xml:space="preserve">U1-11</t>
  </si>
  <si>
    <t xml:space="preserve">Fix, bug-bash &amp; demo dry-run</t>
  </si>
  <si>
    <t xml:space="preserve">1) Fix evaluation failures and obvious bugs. 2) Whole-team bug-bash on real (scoped) test orders. 3) Dry-run the demo (with the approved prototype + working backend). 4) Go / no-go for the 2-week milestone.</t>
  </si>
  <si>
    <t xml:space="preserve">AC1: Evaluation passes (no critical failures). AC2: Demo dry-run clean. AC3: Go/no-go agreed.</t>
  </si>
  <si>
    <t xml:space="preserve">Whole team</t>
  </si>
  <si>
    <t xml:space="preserve">Question Backlog — all 19 in-scope questions</t>
  </si>
  <si>
    <t xml:space="preserve">Source: "Full BOT Logic (Combined)" + "EDP Tables", OTC_BOT_Question_Analysis workbook. Complexity tier is a sizing proxy (field/logic rows, SAP joins, answer-scenario count), not a formal estimate.</t>
  </si>
  <si>
    <t xml:space="preserve">Q#</t>
  </si>
  <si>
    <t xml:space="preserve">Question</t>
  </si>
  <si>
    <t xml:space="preserve">Theme</t>
  </si>
  <si>
    <t xml:space="preserve">Primary EDP fact / SAP tables</t>
  </si>
  <si>
    <t xml:space="preserve">Pairing / duplicate note</t>
  </si>
  <si>
    <t xml:space="preserve">Complexity</t>
  </si>
  <si>
    <t xml:space="preserve">Status</t>
  </si>
  <si>
    <t xml:space="preserve">Q1</t>
  </si>
  <si>
    <t xml:space="preserve">What is the status of order 123? (by SAP order # or PO #)</t>
  </si>
  <si>
    <t xml:space="preserve">Order status / lookup</t>
  </si>
  <si>
    <t xml:space="preserve">Fact.SalesOrder (VBAK/VBAP/VBUK/VBEP/VBKD)</t>
  </si>
  <si>
    <t xml:space="preserve">Flagship capability — anchors the whole build.</t>
  </si>
  <si>
    <t xml:space="preserve">High</t>
  </si>
  <si>
    <t xml:space="preserve">In progress</t>
  </si>
  <si>
    <t xml:space="preserve">Q13</t>
  </si>
  <si>
    <t xml:space="preserve">Give me a list of all orders with product xxx that have not shipped yet.</t>
  </si>
  <si>
    <t xml:space="preserve">Fact.SalesOrder (VBAK/VBAP/VBUK)</t>
  </si>
  <si>
    <t xml:space="preserve">Alternate phrasing of Q1, noted in the workbook itself — build as one NLU route + query template with Q1.</t>
  </si>
  <si>
    <t xml:space="preserve">Medium</t>
  </si>
  <si>
    <t xml:space="preserve">Q4</t>
  </si>
  <si>
    <t xml:space="preserve">List past-due CPU orders (planned PGI date in the past, not yet PGI'd), for [sales org], [time frame].</t>
  </si>
  <si>
    <t xml:space="preserve">Past-due / loading schedule</t>
  </si>
  <si>
    <t xml:space="preserve">Fact.SalesOrder + Fact.Delivery (VBEP/VBUK/VBAK)</t>
  </si>
  <si>
    <t xml:space="preserve">Parent of Q19 — build together.</t>
  </si>
  <si>
    <t xml:space="preserve">Not started</t>
  </si>
  <si>
    <t xml:space="preserve">Q19</t>
  </si>
  <si>
    <t xml:space="preserve">Which orders had a planned loading (PGI) date in the past but have not yet loaded, for [sales org], [time frame]?</t>
  </si>
  <si>
    <t xml:space="preserve">Workbook flags this as "duplicated, same as question 4" — same query template as Q4, ship as an NLU regression variant, not new logic.</t>
  </si>
  <si>
    <t xml:space="preserve">Q14</t>
  </si>
  <si>
    <t xml:space="preserve">Give me a list of orders that have an estimated loading date (planned PGI date) of [date/date range].</t>
  </si>
  <si>
    <t xml:space="preserve">Loading schedule</t>
  </si>
  <si>
    <t xml:space="preserve">Fact.SalesOrder (VBEP)</t>
  </si>
  <si>
    <t xml:space="preserve">Forward-looking counterpart to Q4/Q19 (future date vs. past-due) — distinct, not a duplicate.</t>
  </si>
  <si>
    <t xml:space="preserve">Low</t>
  </si>
  <si>
    <t xml:space="preserve">Q10</t>
  </si>
  <si>
    <t xml:space="preserve">List orders scheduled to load in the next 2 days that are currently on credit/delivery/billing hold.</t>
  </si>
  <si>
    <t xml:space="preserve">Credit management + loading schedule</t>
  </si>
  <si>
    <t xml:space="preserve">Fact.SalesOrder (VBUK-CMGST/VBEP)</t>
  </si>
  <si>
    <t xml:space="preserve">Parent of Q12 — build together.</t>
  </si>
  <si>
    <t xml:space="preserve">Q12</t>
  </si>
  <si>
    <t xml:space="preserve">List orders past their planned loading date that are on delivery block, for [sales org], [plant/WH], [time frame].</t>
  </si>
  <si>
    <t xml:space="preserve">Delivery blocks</t>
  </si>
  <si>
    <t xml:space="preserve">Fact.SalesOrder (LIKP/VBEP)</t>
  </si>
  <si>
    <t xml:space="preserve">Workbook flags this as "duplicated from question 10" — same block-check logic as Q10, ship as a variant.</t>
  </si>
  <si>
    <t xml:space="preserve">Q3</t>
  </si>
  <si>
    <t xml:space="preserve">Show orders with delivery created but confirmed qty &lt; ordered qty (shortages), not yet shipped, for [sales org]/[date range].</t>
  </si>
  <si>
    <t xml:space="preserve">Delivery vs. ordered qty (shortages)</t>
  </si>
  <si>
    <t xml:space="preserve">Fact.SalesOrder + Fact.Delivery (LIKP/LIPS/VBAP)</t>
  </si>
  <si>
    <t xml:space="preserve">Parent of Q18 — build together.</t>
  </si>
  <si>
    <t xml:space="preserve">Q18</t>
  </si>
  <si>
    <t xml:space="preserve">Which products currently have shortages (confirmed qty &lt; ordered qty), for [sales org], [time period]?</t>
  </si>
  <si>
    <t xml:space="preserve">Fact.SalesOrder + Fact.Delivery (VBAP/LIPS)</t>
  </si>
  <si>
    <t xml:space="preserve">Workbook flags this as "duplicated, same as question 3" — same shortage logic as Q3, ship as a variant.</t>
  </si>
  <si>
    <t xml:space="preserve">Q9</t>
  </si>
  <si>
    <t xml:space="preserve">List orders fully confirmed at delivery-note creation but shipped less than the confirmed quantity.</t>
  </si>
  <si>
    <t xml:space="preserve">Fact.SalesOrder + Fact.Delivery + Fact.Shipment (LIPS)</t>
  </si>
  <si>
    <t xml:space="preserve">Distinct scenario from Q3/Q18 — checks confirmed-vs-shipped, not confirmed-vs-ordered.</t>
  </si>
  <si>
    <t xml:space="preserve">Q6</t>
  </si>
  <si>
    <t xml:space="preserve">What is the fill rate for customer [XX] at plant [XXXX] for [time frame]?</t>
  </si>
  <si>
    <t xml:space="preserve">Fill rate &amp; shortage analytics</t>
  </si>
  <si>
    <t xml:space="preserve">Fact.SalesOrder (VBAK/VBAP/LIKP/LIPS)</t>
  </si>
  <si>
    <t xml:space="preserve">Aggregation on top of the shortage tables built this sprint.</t>
  </si>
  <si>
    <t xml:space="preserve">Q2</t>
  </si>
  <si>
    <t xml:space="preserve">What is the current on-hand stock (in cases) for SKU [123] at plant [xxxx], and how many open orders exist against it?</t>
  </si>
  <si>
    <t xml:space="preserve">Inventory / stock</t>
  </si>
  <si>
    <t xml:space="preserve">Fact.IM_Inventory_Balance + Fact.SalesOrder (MARD/MCHB)</t>
  </si>
  <si>
    <t xml:space="preserve">New data domain (inventory) — first use of this fact table.</t>
  </si>
  <si>
    <t xml:space="preserve">Q7</t>
  </si>
  <si>
    <t xml:space="preserve">List products purchased by customer [XXXX] and the producing plant for each, for [time frame].</t>
  </si>
  <si>
    <t xml:space="preserve">Customer purchase history</t>
  </si>
  <si>
    <t xml:space="preserve">Fact.SalesOrder + DimMaterialBatch (KNA1/KUAGV)</t>
  </si>
  <si>
    <t xml:space="preserve">Plant determination depends on batch ID — confirm mapping with EDP team.</t>
  </si>
  <si>
    <t xml:space="preserve">Q17</t>
  </si>
  <si>
    <t xml:space="preserve">Which customers are most impacted by shortages (rank by qty/value), for [sales org], [time period]?</t>
  </si>
  <si>
    <t xml:space="preserve">Fact.SalesOrder (aggregated)</t>
  </si>
  <si>
    <t xml:space="preserve">Ranking/aggregation built on the Q3/Q6/Q18 shortage logic from Sprint 3.</t>
  </si>
  <si>
    <t xml:space="preserve">Q5</t>
  </si>
  <si>
    <t xml:space="preserve">For plant xx, list orders where SKUs are not ordered in full pallet quantities.</t>
  </si>
  <si>
    <t xml:space="preserve">Packaging / pallet compliance</t>
  </si>
  <si>
    <t xml:space="preserve">Fact.SalesOrder + DimFullPalletCustomerConversion (MARA/MARM)</t>
  </si>
  <si>
    <t xml:space="preserve">Needs a calculated field the workbook notes "exists on the supply chain BOT" — confirm reuse/ownership by Sprint 3 to avoid a late blocker.</t>
  </si>
  <si>
    <t xml:space="preserve">Q15</t>
  </si>
  <si>
    <t xml:space="preserve">What are the cases-per-pallet, gross weight, net weight, and EAN/UPC for SKU [XXXX]?</t>
  </si>
  <si>
    <t xml:space="preserve">DimProduct + DimProductConversionFactors (MARA/MARM)</t>
  </si>
  <si>
    <t xml:space="preserve">Master-data lookup only — lowest-risk item in the plan.</t>
  </si>
  <si>
    <t xml:space="preserve">Q16</t>
  </si>
  <si>
    <t xml:space="preserve">List open orders with pallets, cases, and weight, for customer [ID/Name] in [sales org].</t>
  </si>
  <si>
    <t xml:space="preserve">Fact.SalesOrder (VBAP/MARA/MARM)</t>
  </si>
  <si>
    <t xml:space="preserve">Reuses Q15's packaging conversion logic.</t>
  </si>
  <si>
    <t xml:space="preserve">Q8</t>
  </si>
  <si>
    <t xml:space="preserve">Show me orders that have been shipped but not yet billed, for [sales org], [time period].</t>
  </si>
  <si>
    <t xml:space="preserve">Billing / invoicing</t>
  </si>
  <si>
    <t xml:space="preserve">Fact.SalesOrder (LIKP/VBRK/VBRP)</t>
  </si>
  <si>
    <t xml:space="preserve">New data domain (billing) — first use of Fact.Sellin-adjacent billing tables.</t>
  </si>
  <si>
    <t xml:space="preserve">Q11</t>
  </si>
  <si>
    <t xml:space="preserve">List orders billed yesterday (dynamic date/time frame).</t>
  </si>
  <si>
    <t xml:space="preserve">Fact.Sellin (VBRK/VBRP)</t>
  </si>
  <si>
    <t xml:space="preserve">Shares billing tables with Q8 — build together.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</si>
</sst>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0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C9821A"/>
      <name val="Arial"/>
      <family val="0"/>
      <charset val="1"/>
    </font>
    <font>
      <b val="true"/>
      <sz val="10"/>
      <color rgb="FF1F7A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203A"/>
        <bgColor rgb="FF333333"/>
      </patternFill>
    </fill>
    <fill>
      <patternFill patternType="solid">
        <fgColor rgb="FFEE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3"/>
      <rgbColor rgb="FFCCCCCC"/>
      <rgbColor rgb="FF808080"/>
      <rgbColor rgb="FF9999FF"/>
      <rgbColor rgb="FF993366"/>
      <rgbColor rgb="FFEEF1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821A"/>
      <rgbColor rgb="FFFF6600"/>
      <rgbColor rgb="FF555555"/>
      <rgbColor rgb="FF969696"/>
      <rgbColor rgb="FF12203A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3" min="3" style="1" width="70"/>
  </cols>
  <sheetData>
    <row r="1" customFormat="false" ht="19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33.75" hidden="false" customHeight="true" outlineLevel="0" collapsed="false">
      <c r="A5" s="5" t="s">
        <v>5</v>
      </c>
      <c r="B5" s="5" t="s">
        <v>6</v>
      </c>
      <c r="C5" s="5" t="s">
        <v>7</v>
      </c>
    </row>
    <row r="6" customFormat="false" ht="33.75" hidden="false" customHeight="true" outlineLevel="0" collapsed="false">
      <c r="A6" s="6" t="s">
        <v>8</v>
      </c>
      <c r="B6" s="6" t="s">
        <v>9</v>
      </c>
      <c r="C6" s="6" t="s">
        <v>10</v>
      </c>
    </row>
    <row r="7" customFormat="false" ht="33.75" hidden="false" customHeight="true" outlineLevel="0" collapsed="false">
      <c r="A7" s="5" t="s">
        <v>11</v>
      </c>
      <c r="B7" s="5" t="s">
        <v>12</v>
      </c>
      <c r="C7" s="5" t="s">
        <v>13</v>
      </c>
    </row>
    <row r="8" customFormat="false" ht="33.75" hidden="false" customHeight="true" outlineLevel="0" collapsed="false">
      <c r="A8" s="6" t="s">
        <v>14</v>
      </c>
      <c r="B8" s="6" t="s">
        <v>15</v>
      </c>
      <c r="C8" s="6" t="s">
        <v>16</v>
      </c>
    </row>
    <row r="9" customFormat="false" ht="42" hidden="false" customHeight="true" outlineLevel="0" collapsed="false">
      <c r="A9" s="5" t="s">
        <v>17</v>
      </c>
      <c r="B9" s="5" t="s">
        <v>18</v>
      </c>
      <c r="C9" s="5" t="s">
        <v>19</v>
      </c>
    </row>
    <row r="10" customFormat="false" ht="33.75" hidden="false" customHeight="true" outlineLevel="0" collapsed="false">
      <c r="A10" s="6" t="s">
        <v>20</v>
      </c>
      <c r="B10" s="6" t="s">
        <v>21</v>
      </c>
      <c r="C10" s="6" t="s">
        <v>22</v>
      </c>
    </row>
    <row r="11" customFormat="false" ht="69.75" hidden="false" customHeight="true" outlineLevel="0" collapsed="false">
      <c r="A11" s="5" t="s">
        <v>23</v>
      </c>
      <c r="B11" s="5" t="s">
        <v>24</v>
      </c>
      <c r="C11" s="5" t="s">
        <v>25</v>
      </c>
    </row>
    <row r="12" customFormat="false" ht="42" hidden="false" customHeight="true" outlineLevel="0" collapsed="false">
      <c r="A12" s="6" t="s">
        <v>26</v>
      </c>
      <c r="B12" s="6" t="s">
        <v>27</v>
      </c>
      <c r="C12" s="6" t="s">
        <v>28</v>
      </c>
    </row>
    <row r="13" customFormat="false" ht="42" hidden="false" customHeight="true" outlineLevel="0" collapsed="false">
      <c r="A13" s="5" t="s">
        <v>29</v>
      </c>
      <c r="B13" s="5" t="s">
        <v>30</v>
      </c>
      <c r="C13" s="5" t="s">
        <v>31</v>
      </c>
    </row>
    <row r="14" customFormat="false" ht="69.75" hidden="false" customHeight="true" outlineLevel="0" collapsed="false">
      <c r="A14" s="7" t="s">
        <v>32</v>
      </c>
      <c r="B14" s="7" t="s">
        <v>33</v>
      </c>
      <c r="C14" s="7" t="s">
        <v>34</v>
      </c>
    </row>
    <row r="15" customFormat="false" ht="69.75" hidden="false" customHeight="true" outlineLevel="0" collapsed="false">
      <c r="A15" s="8" t="s">
        <v>35</v>
      </c>
      <c r="B15" s="8" t="s">
        <v>36</v>
      </c>
      <c r="C15" s="8" t="s">
        <v>37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26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7" min="7" style="1" width="42"/>
  </cols>
  <sheetData>
    <row r="1" customFormat="false" ht="19.5" hidden="false" customHeight="true" outlineLevel="0" collapsed="false">
      <c r="A1" s="2" t="s">
        <v>38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39</v>
      </c>
      <c r="B2" s="3"/>
      <c r="C2" s="3"/>
      <c r="D2" s="3"/>
      <c r="E2" s="3"/>
      <c r="F2" s="3"/>
      <c r="G2" s="3"/>
    </row>
    <row r="4" customFormat="false" ht="36.75" hidden="false" customHeight="true" outlineLevel="0" collapsed="false">
      <c r="A4" s="4" t="s">
        <v>40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46</v>
      </c>
    </row>
    <row r="5" customFormat="false" ht="99.75" hidden="false" customHeight="true" outlineLevel="0" collapsed="false">
      <c r="A5" s="9" t="s">
        <v>47</v>
      </c>
      <c r="B5" s="5" t="s">
        <v>48</v>
      </c>
      <c r="C5" s="5" t="s">
        <v>49</v>
      </c>
      <c r="D5" s="5" t="s">
        <v>50</v>
      </c>
      <c r="E5" s="5" t="s">
        <v>51</v>
      </c>
      <c r="F5" s="5" t="n">
        <f aca="false">COUNTIF('Question Backlog'!$A$5:$A$23,A5)</f>
        <v>2</v>
      </c>
      <c r="G5" s="5" t="s">
        <v>52</v>
      </c>
    </row>
    <row r="6" customFormat="false" ht="90" hidden="false" customHeight="true" outlineLevel="0" collapsed="false">
      <c r="A6" s="10" t="s">
        <v>53</v>
      </c>
      <c r="B6" s="6" t="s">
        <v>54</v>
      </c>
      <c r="C6" s="6" t="s">
        <v>55</v>
      </c>
      <c r="D6" s="6" t="s">
        <v>56</v>
      </c>
      <c r="E6" s="6" t="s">
        <v>57</v>
      </c>
      <c r="F6" s="6" t="n">
        <f aca="false">COUNTIF('Question Backlog'!$A$5:$A$23,A6)</f>
        <v>5</v>
      </c>
      <c r="G6" s="6" t="s">
        <v>58</v>
      </c>
    </row>
    <row r="7" customFormat="false" ht="78" hidden="false" customHeight="true" outlineLevel="0" collapsed="false">
      <c r="A7" s="9" t="s">
        <v>59</v>
      </c>
      <c r="B7" s="5" t="s">
        <v>60</v>
      </c>
      <c r="C7" s="5" t="s">
        <v>61</v>
      </c>
      <c r="D7" s="5" t="s">
        <v>62</v>
      </c>
      <c r="E7" s="5" t="s">
        <v>63</v>
      </c>
      <c r="F7" s="5" t="n">
        <f aca="false">COUNTIF('Question Backlog'!$A$5:$A$23,A7)</f>
        <v>4</v>
      </c>
      <c r="G7" s="5" t="s">
        <v>64</v>
      </c>
    </row>
    <row r="8" customFormat="false" ht="66" hidden="false" customHeight="true" outlineLevel="0" collapsed="false">
      <c r="A8" s="9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n">
        <f aca="false">COUNTIF('Question Backlog'!$A$5:$A$23,A8)</f>
        <v>3</v>
      </c>
      <c r="G8" s="5" t="s">
        <v>70</v>
      </c>
    </row>
    <row r="9" customFormat="false" ht="66" hidden="false" customHeight="true" outlineLevel="0" collapsed="false">
      <c r="A9" s="10" t="s">
        <v>71</v>
      </c>
      <c r="B9" s="6" t="s">
        <v>72</v>
      </c>
      <c r="C9" s="6" t="s">
        <v>73</v>
      </c>
      <c r="D9" s="6" t="s">
        <v>74</v>
      </c>
      <c r="E9" s="6" t="s">
        <v>75</v>
      </c>
      <c r="F9" s="6" t="n">
        <f aca="false">COUNTIF('Question Backlog'!$A$5:$A$23,A9)</f>
        <v>5</v>
      </c>
      <c r="G9" s="6" t="s">
        <v>76</v>
      </c>
    </row>
    <row r="10" customFormat="false" ht="78" hidden="false" customHeight="true" outlineLevel="0" collapsed="false">
      <c r="A10" s="10" t="s">
        <v>77</v>
      </c>
      <c r="B10" s="6" t="s">
        <v>78</v>
      </c>
      <c r="C10" s="6" t="s">
        <v>79</v>
      </c>
      <c r="D10" s="6" t="s">
        <v>80</v>
      </c>
      <c r="E10" s="6" t="s">
        <v>81</v>
      </c>
      <c r="F10" s="6" t="n">
        <f aca="false">COUNTIF('Question Backlog'!$A$5:$A$23,A10)</f>
        <v>0</v>
      </c>
      <c r="G10" s="6" t="s">
        <v>82</v>
      </c>
    </row>
    <row r="11" customFormat="false" ht="15" hidden="false" customHeight="true" outlineLevel="0" collapsed="false">
      <c r="A11" s="9" t="s">
        <v>83</v>
      </c>
      <c r="B11" s="5"/>
      <c r="C11" s="5"/>
      <c r="D11" s="5"/>
      <c r="E11" s="5"/>
      <c r="F11" s="9" t="n">
        <f aca="false">SUM(F5:F10)</f>
        <v>19</v>
      </c>
      <c r="G11" s="5"/>
    </row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8"/>
    <col collapsed="false" customWidth="true" hidden="false" outlineLevel="0" max="4" min="4" style="1" width="26"/>
    <col collapsed="false" customWidth="true" hidden="false" outlineLevel="0" max="5" min="5" style="1" width="52"/>
    <col collapsed="false" customWidth="true" hidden="false" outlineLevel="0" max="6" min="6" style="1" width="40"/>
    <col collapsed="false" customWidth="true" hidden="false" outlineLevel="0" max="7" min="7" style="1" width="14"/>
    <col collapsed="false" customWidth="true" hidden="false" outlineLevel="0" max="8" min="8" style="1" width="20"/>
  </cols>
  <sheetData>
    <row r="1" customFormat="false" ht="19.5" hidden="false" customHeight="true" outlineLevel="0" collapsed="false">
      <c r="A1" s="2" t="s">
        <v>84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85</v>
      </c>
      <c r="B2" s="3"/>
      <c r="C2" s="3"/>
      <c r="D2" s="3"/>
      <c r="E2" s="3"/>
      <c r="F2" s="3"/>
      <c r="G2" s="3"/>
      <c r="H2" s="3"/>
    </row>
    <row r="4" customFormat="false" ht="24.75" hidden="false" customHeight="true" outlineLevel="0" collapsed="false">
      <c r="A4" s="4" t="s">
        <v>86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93</v>
      </c>
    </row>
    <row r="5" customFormat="false" ht="91.5" hidden="false" customHeight="true" outlineLevel="0" collapsed="false">
      <c r="A5" s="7" t="s">
        <v>94</v>
      </c>
      <c r="B5" s="7" t="s">
        <v>95</v>
      </c>
      <c r="C5" s="11" t="s">
        <v>96</v>
      </c>
      <c r="D5" s="7" t="s">
        <v>97</v>
      </c>
      <c r="E5" s="7" t="s">
        <v>98</v>
      </c>
      <c r="F5" s="7" t="s">
        <v>99</v>
      </c>
      <c r="G5" s="7" t="s">
        <v>100</v>
      </c>
      <c r="H5" s="7" t="s">
        <v>101</v>
      </c>
    </row>
    <row r="6" customFormat="false" ht="91.5" hidden="false" customHeight="true" outlineLevel="0" collapsed="false">
      <c r="A6" s="8" t="s">
        <v>94</v>
      </c>
      <c r="B6" s="8" t="s">
        <v>102</v>
      </c>
      <c r="C6" s="12" t="s">
        <v>103</v>
      </c>
      <c r="D6" s="8" t="s">
        <v>104</v>
      </c>
      <c r="E6" s="8" t="s">
        <v>105</v>
      </c>
      <c r="F6" s="8" t="s">
        <v>106</v>
      </c>
      <c r="G6" s="8" t="s">
        <v>107</v>
      </c>
      <c r="H6" s="8" t="s">
        <v>108</v>
      </c>
    </row>
    <row r="7" customFormat="false" ht="91.5" hidden="false" customHeight="true" outlineLevel="0" collapsed="false">
      <c r="A7" s="7" t="s">
        <v>94</v>
      </c>
      <c r="B7" s="7" t="s">
        <v>109</v>
      </c>
      <c r="C7" s="11" t="s">
        <v>110</v>
      </c>
      <c r="D7" s="7" t="s">
        <v>111</v>
      </c>
      <c r="E7" s="7" t="s">
        <v>112</v>
      </c>
      <c r="F7" s="7" t="s">
        <v>113</v>
      </c>
      <c r="G7" s="7" t="s">
        <v>114</v>
      </c>
      <c r="H7" s="7" t="s">
        <v>115</v>
      </c>
    </row>
    <row r="8" customFormat="false" ht="91.5" hidden="false" customHeight="true" outlineLevel="0" collapsed="false">
      <c r="A8" s="8" t="s">
        <v>94</v>
      </c>
      <c r="B8" s="8" t="s">
        <v>116</v>
      </c>
      <c r="C8" s="12" t="s">
        <v>117</v>
      </c>
      <c r="D8" s="8" t="s">
        <v>118</v>
      </c>
      <c r="E8" s="8" t="s">
        <v>119</v>
      </c>
      <c r="F8" s="8" t="s">
        <v>120</v>
      </c>
      <c r="G8" s="8" t="s">
        <v>121</v>
      </c>
      <c r="H8" s="8" t="s">
        <v>122</v>
      </c>
    </row>
    <row r="9" customFormat="false" ht="91.5" hidden="false" customHeight="true" outlineLevel="0" collapsed="false">
      <c r="A9" s="7" t="s">
        <v>94</v>
      </c>
      <c r="B9" s="7" t="s">
        <v>123</v>
      </c>
      <c r="C9" s="11" t="s">
        <v>124</v>
      </c>
      <c r="D9" s="7" t="s">
        <v>125</v>
      </c>
      <c r="E9" s="7" t="s">
        <v>126</v>
      </c>
      <c r="F9" s="7" t="s">
        <v>127</v>
      </c>
      <c r="G9" s="7" t="s">
        <v>128</v>
      </c>
      <c r="H9" s="7" t="s">
        <v>129</v>
      </c>
    </row>
    <row r="10" customFormat="false" ht="91.5" hidden="false" customHeight="true" outlineLevel="0" collapsed="false">
      <c r="A10" s="8" t="s">
        <v>130</v>
      </c>
      <c r="B10" s="8" t="s">
        <v>131</v>
      </c>
      <c r="C10" s="12" t="s">
        <v>132</v>
      </c>
      <c r="D10" s="8" t="s">
        <v>133</v>
      </c>
      <c r="E10" s="8" t="s">
        <v>134</v>
      </c>
      <c r="F10" s="8" t="s">
        <v>135</v>
      </c>
      <c r="G10" s="8" t="s">
        <v>136</v>
      </c>
      <c r="H10" s="8" t="s">
        <v>137</v>
      </c>
    </row>
    <row r="11" customFormat="false" ht="91.5" hidden="false" customHeight="true" outlineLevel="0" collapsed="false">
      <c r="A11" s="7" t="s">
        <v>138</v>
      </c>
      <c r="B11" s="7" t="s">
        <v>139</v>
      </c>
      <c r="C11" s="11" t="s">
        <v>140</v>
      </c>
      <c r="D11" s="7" t="s">
        <v>141</v>
      </c>
      <c r="E11" s="7" t="s">
        <v>142</v>
      </c>
      <c r="F11" s="7" t="s">
        <v>143</v>
      </c>
      <c r="G11" s="7" t="s">
        <v>144</v>
      </c>
      <c r="H11" s="7" t="s">
        <v>122</v>
      </c>
    </row>
    <row r="12" customFormat="false" ht="91.5" hidden="false" customHeight="true" outlineLevel="0" collapsed="false">
      <c r="A12" s="8" t="s">
        <v>138</v>
      </c>
      <c r="B12" s="8" t="s">
        <v>139</v>
      </c>
      <c r="C12" s="12" t="s">
        <v>145</v>
      </c>
      <c r="D12" s="8" t="s">
        <v>146</v>
      </c>
      <c r="E12" s="8" t="s">
        <v>147</v>
      </c>
      <c r="F12" s="8" t="s">
        <v>148</v>
      </c>
      <c r="G12" s="8" t="s">
        <v>149</v>
      </c>
      <c r="H12" s="8" t="s">
        <v>115</v>
      </c>
    </row>
    <row r="13" customFormat="false" ht="91.5" hidden="false" customHeight="true" outlineLevel="0" collapsed="false">
      <c r="A13" s="7" t="s">
        <v>138</v>
      </c>
      <c r="B13" s="7" t="s">
        <v>150</v>
      </c>
      <c r="C13" s="11" t="s">
        <v>151</v>
      </c>
      <c r="D13" s="7" t="s">
        <v>152</v>
      </c>
      <c r="E13" s="7" t="s">
        <v>153</v>
      </c>
      <c r="F13" s="7" t="s">
        <v>154</v>
      </c>
      <c r="G13" s="7" t="s">
        <v>155</v>
      </c>
      <c r="H13" s="7" t="s">
        <v>156</v>
      </c>
    </row>
    <row r="14" customFormat="false" ht="91.5" hidden="false" customHeight="true" outlineLevel="0" collapsed="false">
      <c r="A14" s="8" t="s">
        <v>138</v>
      </c>
      <c r="B14" s="8" t="s">
        <v>157</v>
      </c>
      <c r="C14" s="12" t="s">
        <v>158</v>
      </c>
      <c r="D14" s="8" t="s">
        <v>159</v>
      </c>
      <c r="E14" s="8" t="s">
        <v>160</v>
      </c>
      <c r="F14" s="8" t="s">
        <v>161</v>
      </c>
      <c r="G14" s="8" t="s">
        <v>162</v>
      </c>
      <c r="H14" s="8" t="s">
        <v>115</v>
      </c>
    </row>
    <row r="15" customFormat="false" ht="91.5" hidden="false" customHeight="true" outlineLevel="0" collapsed="false">
      <c r="A15" s="7" t="s">
        <v>138</v>
      </c>
      <c r="B15" s="7" t="s">
        <v>163</v>
      </c>
      <c r="C15" s="11" t="s">
        <v>164</v>
      </c>
      <c r="D15" s="7" t="s">
        <v>165</v>
      </c>
      <c r="E15" s="7" t="s">
        <v>166</v>
      </c>
      <c r="F15" s="7" t="s">
        <v>167</v>
      </c>
      <c r="G15" s="7" t="s">
        <v>162</v>
      </c>
      <c r="H15" s="7" t="s">
        <v>168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46"/>
    <col collapsed="false" customWidth="true" hidden="false" outlineLevel="0" max="4" min="4" style="1" width="22"/>
    <col collapsed="false" customWidth="true" hidden="false" outlineLevel="0" max="5" min="5" style="1" width="34"/>
    <col collapsed="false" customWidth="true" hidden="false" outlineLevel="0" max="6" min="6" style="1" width="44"/>
    <col collapsed="false" customWidth="true" hidden="false" outlineLevel="0" max="7" min="7" style="1" width="12"/>
    <col collapsed="false" customWidth="true" hidden="false" outlineLevel="0" max="8" min="8" style="1" width="13"/>
  </cols>
  <sheetData>
    <row r="1" customFormat="false" ht="19.5" hidden="false" customHeight="true" outlineLevel="0" collapsed="false">
      <c r="A1" s="2" t="s">
        <v>169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170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40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175</v>
      </c>
      <c r="G4" s="4" t="s">
        <v>176</v>
      </c>
      <c r="H4" s="4" t="s">
        <v>177</v>
      </c>
    </row>
    <row r="5" customFormat="false" ht="48" hidden="false" customHeight="true" outlineLevel="0" collapsed="false">
      <c r="A5" s="7" t="s">
        <v>47</v>
      </c>
      <c r="B5" s="10" t="s">
        <v>178</v>
      </c>
      <c r="C5" s="7" t="s">
        <v>179</v>
      </c>
      <c r="D5" s="7" t="s">
        <v>180</v>
      </c>
      <c r="E5" s="7" t="s">
        <v>181</v>
      </c>
      <c r="F5" s="7" t="s">
        <v>182</v>
      </c>
      <c r="G5" s="13" t="s">
        <v>183</v>
      </c>
      <c r="H5" s="14" t="s">
        <v>184</v>
      </c>
    </row>
    <row r="6" customFormat="false" ht="48" hidden="false" customHeight="true" outlineLevel="0" collapsed="false">
      <c r="A6" s="8" t="s">
        <v>47</v>
      </c>
      <c r="B6" s="9" t="s">
        <v>185</v>
      </c>
      <c r="C6" s="8" t="s">
        <v>186</v>
      </c>
      <c r="D6" s="8" t="s">
        <v>180</v>
      </c>
      <c r="E6" s="8" t="s">
        <v>187</v>
      </c>
      <c r="F6" s="8" t="s">
        <v>188</v>
      </c>
      <c r="G6" s="15" t="s">
        <v>189</v>
      </c>
      <c r="H6" s="15" t="s">
        <v>184</v>
      </c>
    </row>
    <row r="7" customFormat="false" ht="48" hidden="false" customHeight="true" outlineLevel="0" collapsed="false">
      <c r="A7" s="7" t="s">
        <v>53</v>
      </c>
      <c r="B7" s="10" t="s">
        <v>190</v>
      </c>
      <c r="C7" s="7" t="s">
        <v>191</v>
      </c>
      <c r="D7" s="7" t="s">
        <v>192</v>
      </c>
      <c r="E7" s="7" t="s">
        <v>193</v>
      </c>
      <c r="F7" s="7" t="s">
        <v>194</v>
      </c>
      <c r="G7" s="14" t="s">
        <v>189</v>
      </c>
      <c r="H7" s="16" t="s">
        <v>195</v>
      </c>
    </row>
    <row r="8" customFormat="false" ht="48" hidden="false" customHeight="true" outlineLevel="0" collapsed="false">
      <c r="A8" s="8" t="s">
        <v>53</v>
      </c>
      <c r="B8" s="9" t="s">
        <v>196</v>
      </c>
      <c r="C8" s="8" t="s">
        <v>197</v>
      </c>
      <c r="D8" s="8" t="s">
        <v>192</v>
      </c>
      <c r="E8" s="8" t="s">
        <v>193</v>
      </c>
      <c r="F8" s="8" t="s">
        <v>198</v>
      </c>
      <c r="G8" s="15" t="s">
        <v>189</v>
      </c>
      <c r="H8" s="17" t="s">
        <v>195</v>
      </c>
    </row>
    <row r="9" customFormat="false" ht="48" hidden="false" customHeight="true" outlineLevel="0" collapsed="false">
      <c r="A9" s="7" t="s">
        <v>53</v>
      </c>
      <c r="B9" s="10" t="s">
        <v>199</v>
      </c>
      <c r="C9" s="7" t="s">
        <v>200</v>
      </c>
      <c r="D9" s="7" t="s">
        <v>201</v>
      </c>
      <c r="E9" s="7" t="s">
        <v>202</v>
      </c>
      <c r="F9" s="7" t="s">
        <v>203</v>
      </c>
      <c r="G9" s="18" t="s">
        <v>204</v>
      </c>
      <c r="H9" s="16" t="s">
        <v>195</v>
      </c>
    </row>
    <row r="10" customFormat="false" ht="48" hidden="false" customHeight="true" outlineLevel="0" collapsed="false">
      <c r="A10" s="8" t="s">
        <v>53</v>
      </c>
      <c r="B10" s="9" t="s">
        <v>205</v>
      </c>
      <c r="C10" s="8" t="s">
        <v>206</v>
      </c>
      <c r="D10" s="8" t="s">
        <v>207</v>
      </c>
      <c r="E10" s="8" t="s">
        <v>208</v>
      </c>
      <c r="F10" s="8" t="s">
        <v>209</v>
      </c>
      <c r="G10" s="19" t="s">
        <v>204</v>
      </c>
      <c r="H10" s="17" t="s">
        <v>195</v>
      </c>
    </row>
    <row r="11" customFormat="false" ht="48" hidden="false" customHeight="true" outlineLevel="0" collapsed="false">
      <c r="A11" s="7" t="s">
        <v>53</v>
      </c>
      <c r="B11" s="10" t="s">
        <v>210</v>
      </c>
      <c r="C11" s="7" t="s">
        <v>211</v>
      </c>
      <c r="D11" s="7" t="s">
        <v>212</v>
      </c>
      <c r="E11" s="7" t="s">
        <v>213</v>
      </c>
      <c r="F11" s="7" t="s">
        <v>214</v>
      </c>
      <c r="G11" s="13" t="s">
        <v>183</v>
      </c>
      <c r="H11" s="16" t="s">
        <v>195</v>
      </c>
    </row>
    <row r="12" customFormat="false" ht="48" hidden="false" customHeight="true" outlineLevel="0" collapsed="false">
      <c r="A12" s="8" t="s">
        <v>59</v>
      </c>
      <c r="B12" s="9" t="s">
        <v>215</v>
      </c>
      <c r="C12" s="8" t="s">
        <v>216</v>
      </c>
      <c r="D12" s="8" t="s">
        <v>217</v>
      </c>
      <c r="E12" s="8" t="s">
        <v>218</v>
      </c>
      <c r="F12" s="8" t="s">
        <v>219</v>
      </c>
      <c r="G12" s="15" t="s">
        <v>189</v>
      </c>
      <c r="H12" s="17" t="s">
        <v>195</v>
      </c>
    </row>
    <row r="13" customFormat="false" ht="48" hidden="false" customHeight="true" outlineLevel="0" collapsed="false">
      <c r="A13" s="7" t="s">
        <v>59</v>
      </c>
      <c r="B13" s="10" t="s">
        <v>220</v>
      </c>
      <c r="C13" s="7" t="s">
        <v>221</v>
      </c>
      <c r="D13" s="7" t="s">
        <v>217</v>
      </c>
      <c r="E13" s="7" t="s">
        <v>222</v>
      </c>
      <c r="F13" s="7" t="s">
        <v>223</v>
      </c>
      <c r="G13" s="13" t="s">
        <v>183</v>
      </c>
      <c r="H13" s="16" t="s">
        <v>195</v>
      </c>
    </row>
    <row r="14" customFormat="false" ht="48" hidden="false" customHeight="true" outlineLevel="0" collapsed="false">
      <c r="A14" s="8" t="s">
        <v>59</v>
      </c>
      <c r="B14" s="9" t="s">
        <v>224</v>
      </c>
      <c r="C14" s="8" t="s">
        <v>225</v>
      </c>
      <c r="D14" s="8" t="s">
        <v>217</v>
      </c>
      <c r="E14" s="8" t="s">
        <v>226</v>
      </c>
      <c r="F14" s="8" t="s">
        <v>227</v>
      </c>
      <c r="G14" s="19" t="s">
        <v>204</v>
      </c>
      <c r="H14" s="17" t="s">
        <v>195</v>
      </c>
    </row>
    <row r="15" customFormat="false" ht="48" hidden="false" customHeight="true" outlineLevel="0" collapsed="false">
      <c r="A15" s="7" t="s">
        <v>59</v>
      </c>
      <c r="B15" s="10" t="s">
        <v>228</v>
      </c>
      <c r="C15" s="7" t="s">
        <v>229</v>
      </c>
      <c r="D15" s="7" t="s">
        <v>230</v>
      </c>
      <c r="E15" s="7" t="s">
        <v>231</v>
      </c>
      <c r="F15" s="7" t="s">
        <v>232</v>
      </c>
      <c r="G15" s="14" t="s">
        <v>189</v>
      </c>
      <c r="H15" s="16" t="s">
        <v>195</v>
      </c>
    </row>
    <row r="16" customFormat="false" ht="48" hidden="false" customHeight="true" outlineLevel="0" collapsed="false">
      <c r="A16" s="8" t="s">
        <v>65</v>
      </c>
      <c r="B16" s="9" t="s">
        <v>233</v>
      </c>
      <c r="C16" s="8" t="s">
        <v>234</v>
      </c>
      <c r="D16" s="8" t="s">
        <v>235</v>
      </c>
      <c r="E16" s="8" t="s">
        <v>236</v>
      </c>
      <c r="F16" s="8" t="s">
        <v>237</v>
      </c>
      <c r="G16" s="15" t="s">
        <v>189</v>
      </c>
      <c r="H16" s="17" t="s">
        <v>195</v>
      </c>
    </row>
    <row r="17" customFormat="false" ht="48" hidden="false" customHeight="true" outlineLevel="0" collapsed="false">
      <c r="A17" s="7" t="s">
        <v>65</v>
      </c>
      <c r="B17" s="10" t="s">
        <v>238</v>
      </c>
      <c r="C17" s="7" t="s">
        <v>239</v>
      </c>
      <c r="D17" s="7" t="s">
        <v>240</v>
      </c>
      <c r="E17" s="7" t="s">
        <v>241</v>
      </c>
      <c r="F17" s="7" t="s">
        <v>242</v>
      </c>
      <c r="G17" s="14" t="s">
        <v>189</v>
      </c>
      <c r="H17" s="16" t="s">
        <v>195</v>
      </c>
    </row>
    <row r="18" customFormat="false" ht="48" hidden="false" customHeight="true" outlineLevel="0" collapsed="false">
      <c r="A18" s="8" t="s">
        <v>65</v>
      </c>
      <c r="B18" s="9" t="s">
        <v>243</v>
      </c>
      <c r="C18" s="8" t="s">
        <v>244</v>
      </c>
      <c r="D18" s="8" t="s">
        <v>230</v>
      </c>
      <c r="E18" s="8" t="s">
        <v>245</v>
      </c>
      <c r="F18" s="8" t="s">
        <v>246</v>
      </c>
      <c r="G18" s="19" t="s">
        <v>204</v>
      </c>
      <c r="H18" s="17" t="s">
        <v>195</v>
      </c>
    </row>
    <row r="19" customFormat="false" ht="48" hidden="false" customHeight="true" outlineLevel="0" collapsed="false">
      <c r="A19" s="7" t="s">
        <v>71</v>
      </c>
      <c r="B19" s="10" t="s">
        <v>247</v>
      </c>
      <c r="C19" s="7" t="s">
        <v>248</v>
      </c>
      <c r="D19" s="7" t="s">
        <v>249</v>
      </c>
      <c r="E19" s="7" t="s">
        <v>250</v>
      </c>
      <c r="F19" s="7" t="s">
        <v>251</v>
      </c>
      <c r="G19" s="18" t="s">
        <v>204</v>
      </c>
      <c r="H19" s="16" t="s">
        <v>195</v>
      </c>
    </row>
    <row r="20" customFormat="false" ht="48" hidden="false" customHeight="true" outlineLevel="0" collapsed="false">
      <c r="A20" s="8" t="s">
        <v>71</v>
      </c>
      <c r="B20" s="9" t="s">
        <v>252</v>
      </c>
      <c r="C20" s="8" t="s">
        <v>253</v>
      </c>
      <c r="D20" s="8" t="s">
        <v>249</v>
      </c>
      <c r="E20" s="8" t="s">
        <v>254</v>
      </c>
      <c r="F20" s="8" t="s">
        <v>255</v>
      </c>
      <c r="G20" s="19" t="s">
        <v>204</v>
      </c>
      <c r="H20" s="17" t="s">
        <v>195</v>
      </c>
    </row>
    <row r="21" customFormat="false" ht="48" hidden="false" customHeight="true" outlineLevel="0" collapsed="false">
      <c r="A21" s="7" t="s">
        <v>71</v>
      </c>
      <c r="B21" s="10" t="s">
        <v>256</v>
      </c>
      <c r="C21" s="7" t="s">
        <v>257</v>
      </c>
      <c r="D21" s="7" t="s">
        <v>249</v>
      </c>
      <c r="E21" s="7" t="s">
        <v>258</v>
      </c>
      <c r="F21" s="7" t="s">
        <v>259</v>
      </c>
      <c r="G21" s="14" t="s">
        <v>189</v>
      </c>
      <c r="H21" s="16" t="s">
        <v>195</v>
      </c>
    </row>
    <row r="22" customFormat="false" ht="48" hidden="false" customHeight="true" outlineLevel="0" collapsed="false">
      <c r="A22" s="8" t="s">
        <v>71</v>
      </c>
      <c r="B22" s="9" t="s">
        <v>260</v>
      </c>
      <c r="C22" s="8" t="s">
        <v>261</v>
      </c>
      <c r="D22" s="8" t="s">
        <v>262</v>
      </c>
      <c r="E22" s="8" t="s">
        <v>263</v>
      </c>
      <c r="F22" s="8" t="s">
        <v>264</v>
      </c>
      <c r="G22" s="19" t="s">
        <v>204</v>
      </c>
      <c r="H22" s="17" t="s">
        <v>195</v>
      </c>
    </row>
    <row r="23" customFormat="false" ht="48" hidden="false" customHeight="true" outlineLevel="0" collapsed="false">
      <c r="A23" s="7" t="s">
        <v>71</v>
      </c>
      <c r="B23" s="10" t="s">
        <v>265</v>
      </c>
      <c r="C23" s="7" t="s">
        <v>266</v>
      </c>
      <c r="D23" s="7" t="s">
        <v>262</v>
      </c>
      <c r="E23" s="7" t="s">
        <v>267</v>
      </c>
      <c r="F23" s="7" t="s">
        <v>268</v>
      </c>
      <c r="G23" s="18" t="s">
        <v>204</v>
      </c>
      <c r="H23" s="16" t="s">
        <v>195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2026-07-29T15:37:23Z</dcterms:created>
  <dc:creator>openpyxl</dc:creator>
  <dc:description/>
  <dc:language>en-US</dc:language>
  <cp:lastModifiedBy/>
  <dcterms:modified xsi:type="dcterms:W3CDTF">2026-07-29T15:50:39Z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